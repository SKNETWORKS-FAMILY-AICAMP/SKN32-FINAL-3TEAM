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LM_workspace\SKN32-FINAL-3TEAM\docs\ksr\"/>
    </mc:Choice>
  </mc:AlternateContent>
  <xr:revisionPtr revIDLastSave="0" documentId="13_ncr:1_{8AA2B9A0-12E7-41C1-9058-C44EB3A20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보류 해결방안" sheetId="1" r:id="rId1"/>
    <sheet name="dev 실측 조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3" i="1"/>
  <c r="L13" i="1"/>
  <c r="K13" i="1"/>
  <c r="J13" i="1"/>
  <c r="I13" i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9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사실 주장 낱말 132 는 정규식 한 벌(유기농·인증·특허·수상·1위·최고·100%·○만 명 …)로 센 어림이에요. 4-a 전체 = 132 + 358 = 490.</t>
        </r>
      </text>
    </comment>
  </commentList>
</comments>
</file>

<file path=xl/sharedStrings.xml><?xml version="1.0" encoding="utf-8"?>
<sst xmlns="http://schemas.openxmlformats.org/spreadsheetml/2006/main" count="120" uniqueCount="112">
  <si>
    <t>문구 검수 — 보류 칸별 해결방안 · 필요사항 · dev 건수</t>
  </si>
  <si>
    <t>dev 건수 = dev 검증 묶음 749행 중 그 칸에 들어간 문장(행) 수 · 「해결되면 풀리는 수」 = 해결방안을 적용했을 때 보류에서 빠지는 행 수(추정) · 보류 번호는 「현재」 그림에 손으로 단 1~4</t>
  </si>
  <si>
    <t>보류</t>
  </si>
  <si>
    <t>상태</t>
  </si>
  <si>
    <t>왜 보류인가</t>
  </si>
  <si>
    <t>해결방안</t>
  </si>
  <si>
    <t>필요사항 · 당장 할 수 있는 것</t>
  </si>
  <si>
    <t>필요사항 · 추가 수집·판정 필요</t>
  </si>
  <si>
    <t>구분</t>
  </si>
  <si>
    <t>dev 건수</t>
  </si>
  <si>
    <t>그중 위반</t>
  </si>
  <si>
    <t>그중 적법</t>
  </si>
  <si>
    <t>그중 모호</t>
  </si>
  <si>
    <t>그중 원천결손</t>
  </si>
  <si>
    <t>해결되면 풀리는 수 (dev)</t>
  </si>
  <si>
    <t>풀린 뒤 모습</t>
  </si>
  <si>
    <t>1</t>
  </si>
  <si>
    <t>사전 적발 (단독판정 항목)</t>
  </si>
  <si>
    <t>걸린 항목의 조문에서 위반 유형이 안 나오거나, 그 유형의 불가 사유(C·A·B)가 사유 표에 없음</t>
  </si>
  <si>
    <t>⑥ 사전 인용 정비 + 사유 표 채우기</t>
  </si>
  <si>
    <t>사전 347개 항목의 인용이 모두 유형으로 풀리는지, 사유 표(INFEASIBILITY_OF)가 모든 유형을 덮는지 시험 추가 (코드만 · 재료 있음)</t>
  </si>
  <si>
    <t>시험에서 빈칸이 나오면 그 유형의 불가 사유를 팀장이 판정</t>
  </si>
  <si>
    <t>코드 · 시험</t>
  </si>
  <si>
    <t>0건 유지 (시험으로 지킴)</t>
  </si>
  <si>
    <t>2</t>
  </si>
  <si>
    <t>사전 적발 → 확정 위반</t>
  </si>
  <si>
    <t>위반은 확정인데 제재표에 처분 행이 없어 위험도(처분 수위)를 모름 → 증명서·지시를 못 냄</t>
  </si>
  <si>
    <t>⑥ 제재표에 그 법의 행을 채우고 서명</t>
  </si>
  <si>
    <t>법마다 서명 행이 있는지 확인하는 시험 + 제재표가 비면 서버 시작 때 경고 (이 PC DB: 식품 24 · 화장품 10 · 표시광고법 4행)</t>
  </si>
  <si>
    <t>「그 밖에 → R1」 기본값을 코드 상수에서 서명된 표 안으로 옮기는 재서명 (D-343 결정 2 · 팀장) · 행이 빈 유형은 별표 원문 수집</t>
  </si>
  <si>
    <t>3-a</t>
  </si>
  <si>
    <t>사전 적발 (약한 항목) + 인코더 같은 유형</t>
  </si>
  <si>
    <t>걸린 사전 항목에 단독판정 자격이 없음 (「~하지 마세요」 같은 주의 문구에도 쓰이는 낱말이라 오탐 위험) · 인코더 동의는 판정에 못 씀</t>
  </si>
  <si>
    <t>② 주의·부정 문맥 판별기 → 「사전+AI 합의 → 확정」 재개
③ 자주 맞는 항목을 강한 항목으로 승격</t>
  </si>
  <si>
    <t>「~하지 마세요 · 섭취 중단 · 의사와 상담」 규칙 초안 작성 → 주의사항 444문장(hf_display_claims.jsonl)으로 관문 ㉠ 재측정</t>
  </si>
  <si>
    <t>합의 확정 재개 팀장 판정 (D-341 결정 2) · 승격은 D-313 사전 재작업 판정</t>
  </si>
  <si>
    <t>측정 → 판정</t>
  </si>
  <si>
    <t>확정 위반 (최대 · 판별기가 주의 문맥으로 거른 만큼 줄어듦)</t>
  </si>
  <si>
    <t>3-b</t>
  </si>
  <si>
    <t>사전 적발 (약한 항목) · 인코더 조용</t>
  </si>
  <si>
    <t>자격 없음 + 인코더도 동의 안 함 · 대부분 주의사항 등 주장 없는 문장</t>
  </si>
  <si>
    <t>⑤ 「AI 위반 신호 없음」 표지 — 보류는 그대로 (D-340 결정 4)</t>
  </si>
  <si>
    <t>화면 문구 변경 (app/reasons.py) · D-340 결정 4 「AI 위반 신호 없음」 표지 집행 (결정 있음 · 미집행)</t>
  </si>
  <si>
    <t>문안 팀장 확인</t>
  </si>
  <si>
    <t>화면 문구</t>
  </si>
  <si>
    <t>보류 그대로 · 화면 문구만 바뀜 (16)</t>
  </si>
  <si>
    <t>4-a</t>
  </si>
  <si>
    <t>사전 미적발 · 인코더 적발 — 사실 주장 낱말 있음 (유기농·인증·특허·1위·100% …)</t>
  </si>
  <si>
    <t>인코더는 유형만 알고 법 조문 · 빨간 구간 · 위험도를 못 냄 → 판정 근거가 없음</t>
  </si>
  <si>
    <t>① 사실 주장 → 「사실이면 쓸 수 있어요 · 필요한 증빙: ○○」 안내
③ AI가 잡은 표현을 사전에 올림</t>
  </si>
  <si>
    <t>① 사실 주장 낱말 표 작성 + 사실 확인 분기(FactBranch · 계약 있음)에 연결 — 결정 있음(D-308 ④′) · 집행만
③ 인코더만 잡은 문장을 반복 표현별로 묶은 목록 뽑기 (스크립트)</t>
  </si>
  <si>
    <t>① 낱말마다 필요한 증빙 종류(예: 유기농 → 인증서)를 법령으로 확인하는 조사
③ 사람이 읽고 조문에 대응시키는 작업(인력) + D-313 사전 재작업 판정</t>
  </si>
  <si>
    <t>결정 집행</t>
  </si>
  <si>
    <t>증빙 안내 (보류 → 「사실이면 쓸 수 있어요」)</t>
  </si>
  <si>
    <t>사전 미적발 · 인코더 적발 — 그 밖 (거짓_과장 · 소비자_기만 · 비방 · 의약품 …)</t>
  </si>
  <si>
    <t>(위와 같음)</t>
  </si>
  <si>
    <t>④ 인코더 확신 0.9 이상은 측정 뒤 확정
③ AI가 잡은 표현을 사전에 올림</t>
  </si>
  <si>
    <t>④ 정상 카피 900(로컬 다운로드) · 다른 생성기 353 · 실가동 28로 오탐률 측정 실행
③ 반복 표현별 목록 뽑기 (스크립트)</t>
  </si>
  <si>
    <t>④ 정상 카피가 정말 적법인지 라벨 확인 + 측정 결과로 팀장 판정 (D-340)
③ 조문 대응 작업(인력) + D-313 판정</t>
  </si>
  <si>
    <t>확정 위반 68 (④ · 확신 0.9↑ · 위반 57 · 적법 0 · 모호 11) · 나머지는 ③ 으로 사람이 올리는 만큼</t>
  </si>
  <si>
    <t>4-b</t>
  </si>
  <si>
    <t>사전 미적발 · 인코더 미적발</t>
  </si>
  <si>
    <t>적법이라는 근거가 없음 · 105건 중 위반 39건(37%) 섞임 → 통과 기준(위반 ≤ 5%)을 못 넘음</t>
  </si>
  <si>
    <t>⑤ 「위반 신호를 찾지 못했어요 · 적법 확인은 아니에요」 + 주의 고지
(연두안) 실제 통과(초록)와 구별되는 연한 초록 + 같은 문구 — 측정 결과에 따라</t>
  </si>
  <si>
    <t>① 정상 카피 900(로컬 다운로드) 등 데이터 밖 묶음으로 「둘 다 조용」 칸의 위반 비율 측정 (재료 있음 · 바로 실행 가능)
② 화면 문구 변경 (app/reasons.py) — 지금 문구 「확정하지 못했어요 · 전문가 검토 필요」(D-340 결정 9 ①)를 바꾸는 것이라 문안 확인이 먼저</t>
  </si>
  <si>
    <t>측정 결과로 팀장 판정 (기준은 측정 전에 고정)
· 위반 ≤ 5% → 연두가 아니라 진짜 통과(초록)로 열기 (D-340 결정 6)
· 5 ~ 15% → 연두 + 고지 (판정 요청 · 15% 는 [임의])
· 15% 초과 → 연두 안 함 · 보류 문구만
· 초록은 「통과」 전용 색(review.html c-r0 · D-280)이라 연두도 팀장 판정 필요
· 정상 카피가 정말 적법인지 라벨 확인 · 「판정 대상 아님」은 주장 여부 판별 장치 필요(D-275 · 아직 없음)</t>
  </si>
  <si>
    <t>측정 전: 보류 그대로 · 화면 문구만 바뀜 (105)
측정 뒤: 위반 ≤ 5% 면 통과 · 5 ~ 15% 면 연두 표시</t>
  </si>
  <si>
    <t>—</t>
  </si>
  <si>
    <t>다름 → 진짜 보류 (cat_unknown)</t>
  </si>
  <si>
    <t>품목을 몰라 전제마다 결과가 다름</t>
  </si>
  <si>
    <t>해결 대상 아님 — 이용자가 품목을 고르면 풀림</t>
  </si>
  <si>
    <t>이용자가 품목을 고르면 그 분기 결과로</t>
  </si>
  <si>
    <t>합계</t>
  </si>
  <si>
    <t>dev 건수 합계 = dev 보류 686</t>
  </si>
  <si>
    <t>풀리는 비율</t>
  </si>
  <si>
    <t>보류 686 중 해결방안을 다 적용했을 때 빠지는 비율 (③ 사전 키우기 몫은 빼고 셈)</t>
  </si>
  <si>
    <t>읽는 법</t>
  </si>
  <si>
    <t>· 위반 = 라벨 A·B·C · 적법 = L · 모호 = M(사람이 봐도 갈림) · 원천결손 = D(원천 자료가 부족해 문구만으로 못 가름)</t>
  </si>
  <si>
    <t>· 「해결되면 풀리는 수」는 최대치 추정이에요 — 3-a 는 판별기가 주의 문맥으로 거르는 만큼, 4-a(그 밖) 는 데이터 밖 측정 결과에 따라 줄 수 있어요. ③ 사전 키우기는 사람이 올리는 만큼이라 수에 넣지 않았어요</t>
  </si>
  <si>
    <t>· 3-b · 4-b 는 보류는 그대로고 화면 문구만 바뀌어요 (풀리는 수 0)</t>
  </si>
  <si>
    <t>· 당장 할 수 있는 것 = 코드 · 시험 · 화면 문구 · 스크립트로 바로 시작 가능 / 추가 수집·판정 필요 = 데이터 수집 · 사람 검토 · 팀장 판정이 있어야 끝남</t>
  </si>
  <si>
    <t>· dev 는 학습 분할에서 뗀 행이라 사전이 실제보다 잘 울려요 — 칸의 수를 실제 광고 비율로 읽지 않아요</t>
  </si>
  <si>
    <t>· 연두안의 위험 — 색이 문구보다 먼저 읽혀요(연두 = 거의 통과) · dev 에서 이 칸의 37% 가 위반 · 이력 · 캡처에서 색만 남으면 통과로 오해 → 아이콘은 체크(✓) 대신 돋보기, 「사전 · AI 가 놓친 위반이 있을 수 있어요」를 같은 크기로, 위치는 보류 묶음 안</t>
  </si>
  <si>
    <t>· dev 의 37% 는 위반 위주 묶음(채점 515행 중 위반 510행)이라 실제보다 높게 나왔을 수 있어요 — 연두로 할지는 데이터 밖 측정으로 정해요</t>
  </si>
  <si>
    <t>항목</t>
  </si>
  <si>
    <t>값</t>
  </si>
  <si>
    <t>평가 명령</t>
  </si>
  <si>
    <t>scripts/eval_graph.py --dev (무조건부 · 품목 안 줌)</t>
  </si>
  <si>
    <t>날짜 · 기기</t>
  </si>
  <si>
    <t>2026-10-15 · 이 PC (클론이 아님)</t>
  </si>
  <si>
    <t>커밋</t>
  </si>
  <si>
    <t>ksr @b4f39da (= origin/ksr)</t>
  </si>
  <si>
    <t>dev 행</t>
  </si>
  <si>
    <t>749 · dev_sha 4ebfcb231da703b5 (일치)</t>
  </si>
  <si>
    <t>골든</t>
  </si>
  <si>
    <t>f6ccc5a7de44</t>
  </si>
  <si>
    <t>사전</t>
  </si>
  <si>
    <t>c6e29452c81b · 347 항목</t>
  </si>
  <si>
    <t>인코더</t>
  </si>
  <si>
    <t>카드17 · 80348d88c0e9 (잠금 채택)</t>
  </si>
  <si>
    <t>판정</t>
  </si>
  <si>
    <t>rule-0.3.0-dict</t>
  </si>
  <si>
    <t>종착</t>
  </si>
  <si>
    <t>보류 686 · 지시 63 · 증명서 0 · 통과 0</t>
  </si>
  <si>
    <t>실행 시간</t>
  </si>
  <si>
    <t>462초 · 행당 617ms</t>
  </si>
  <si>
    <t>칸 나누기</t>
  </si>
  <si>
    <t>평가 결과(dev.json)의 행마다 outcome · hold_reasons · candidates(사전 약한 항목) · enc_candidates(인코더) 로 그림의 칸에 넣음</t>
  </si>
  <si>
    <t>성격</t>
  </si>
  <si>
    <t>진단이에요 — 게이트가 아니고, 칸의 수로 규칙 · 문턱을 고르지 않아요(D-175)</t>
  </si>
  <si>
    <t>추가 데이터 없이 즉시 해결가능</t>
    <phoneticPr fontId="9" type="noConversion"/>
  </si>
  <si>
    <t>검토요청 (반영 시 크게 개선되는 항목)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</si>
</sst>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5F9E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70" zoomScaleNormal="70" workbookViewId="0">
      <pane xSplit="2" ySplit="4" topLeftCell="C5" activePane="bottomRight" state="frozen"/>
      <selection pane="topRight"/>
      <selection pane="bottomLeft"/>
      <selection pane="bottomRight" activeCell="K3" sqref="K3"/>
    </sheetView>
  </sheetViews>
  <sheetFormatPr defaultRowHeight="17.399999999999999" x14ac:dyDescent="0.4"/>
  <cols>
    <col min="1" max="1" width="6" customWidth="1"/>
    <col min="2" max="2" width="29.3984375" customWidth="1"/>
    <col min="3" max="3" width="36.3984375" customWidth="1"/>
    <col min="4" max="4" width="20" customWidth="1"/>
    <col min="5" max="5" width="42.3984375" customWidth="1"/>
    <col min="6" max="6" width="42.19921875" customWidth="1"/>
    <col min="7" max="7" width="11" customWidth="1"/>
    <col min="8" max="11" width="8" customWidth="1"/>
    <col min="12" max="12" width="9" customWidth="1"/>
    <col min="13" max="13" width="11" customWidth="1"/>
    <col min="14" max="14" width="25" customWidth="1"/>
  </cols>
  <sheetData>
    <row r="1" spans="1:14" ht="21" customHeight="1" x14ac:dyDescent="0.45">
      <c r="A1" s="1" t="s">
        <v>0</v>
      </c>
      <c r="F1" s="20" t="s">
        <v>110</v>
      </c>
    </row>
    <row r="2" spans="1:14" x14ac:dyDescent="0.4">
      <c r="A2" s="2" t="s">
        <v>1</v>
      </c>
      <c r="F2" s="21" t="s">
        <v>111</v>
      </c>
    </row>
    <row r="4" spans="1:14" s="11" customFormat="1" ht="34.049999999999997" customHeight="1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</row>
    <row r="5" spans="1:14" s="11" customFormat="1" ht="96" customHeight="1" x14ac:dyDescent="0.3">
      <c r="A5" s="18" t="s">
        <v>16</v>
      </c>
      <c r="B5" s="19" t="s">
        <v>17</v>
      </c>
      <c r="C5" s="19" t="s">
        <v>18</v>
      </c>
      <c r="D5" s="19" t="s">
        <v>19</v>
      </c>
      <c r="E5" s="19" t="s">
        <v>20</v>
      </c>
      <c r="F5" s="19" t="s">
        <v>21</v>
      </c>
      <c r="G5" s="19" t="s">
        <v>22</v>
      </c>
      <c r="H5" s="18">
        <v>0</v>
      </c>
      <c r="I5" s="19">
        <v>0</v>
      </c>
      <c r="J5" s="19">
        <v>0</v>
      </c>
      <c r="K5" s="19">
        <v>0</v>
      </c>
      <c r="L5" s="19">
        <v>0</v>
      </c>
      <c r="M5" s="18">
        <v>0</v>
      </c>
      <c r="N5" s="19" t="s">
        <v>23</v>
      </c>
    </row>
    <row r="6" spans="1:14" s="11" customFormat="1" ht="96" customHeight="1" x14ac:dyDescent="0.3">
      <c r="A6" s="18" t="s">
        <v>24</v>
      </c>
      <c r="B6" s="19" t="s">
        <v>25</v>
      </c>
      <c r="C6" s="19" t="s">
        <v>26</v>
      </c>
      <c r="D6" s="19" t="s">
        <v>27</v>
      </c>
      <c r="E6" s="19" t="s">
        <v>28</v>
      </c>
      <c r="F6" s="19" t="s">
        <v>29</v>
      </c>
      <c r="G6" s="19" t="s">
        <v>22</v>
      </c>
      <c r="H6" s="18">
        <v>0</v>
      </c>
      <c r="I6" s="19">
        <v>0</v>
      </c>
      <c r="J6" s="19">
        <v>0</v>
      </c>
      <c r="K6" s="19">
        <v>0</v>
      </c>
      <c r="L6" s="19">
        <v>0</v>
      </c>
      <c r="M6" s="18">
        <v>0</v>
      </c>
      <c r="N6" s="19" t="s">
        <v>23</v>
      </c>
    </row>
    <row r="7" spans="1:14" s="11" customFormat="1" ht="96" customHeight="1" x14ac:dyDescent="0.3">
      <c r="A7" s="12" t="s">
        <v>30</v>
      </c>
      <c r="B7" s="13" t="s">
        <v>31</v>
      </c>
      <c r="C7" s="13" t="s">
        <v>32</v>
      </c>
      <c r="D7" s="13" t="s">
        <v>33</v>
      </c>
      <c r="E7" s="13" t="s">
        <v>34</v>
      </c>
      <c r="F7" s="13" t="s">
        <v>35</v>
      </c>
      <c r="G7" s="13" t="s">
        <v>36</v>
      </c>
      <c r="H7" s="12">
        <v>53</v>
      </c>
      <c r="I7" s="13">
        <v>32</v>
      </c>
      <c r="J7" s="13">
        <v>0</v>
      </c>
      <c r="K7" s="13">
        <v>20</v>
      </c>
      <c r="L7" s="13">
        <v>1</v>
      </c>
      <c r="M7" s="12">
        <v>53</v>
      </c>
      <c r="N7" s="13" t="s">
        <v>37</v>
      </c>
    </row>
    <row r="8" spans="1:14" s="11" customFormat="1" ht="96" customHeight="1" x14ac:dyDescent="0.3">
      <c r="A8" s="18" t="s">
        <v>38</v>
      </c>
      <c r="B8" s="19" t="s">
        <v>39</v>
      </c>
      <c r="C8" s="19" t="s">
        <v>40</v>
      </c>
      <c r="D8" s="19" t="s">
        <v>41</v>
      </c>
      <c r="E8" s="19" t="s">
        <v>42</v>
      </c>
      <c r="F8" s="19" t="s">
        <v>43</v>
      </c>
      <c r="G8" s="19" t="s">
        <v>44</v>
      </c>
      <c r="H8" s="18">
        <v>16</v>
      </c>
      <c r="I8" s="19">
        <v>2</v>
      </c>
      <c r="J8" s="19">
        <v>0</v>
      </c>
      <c r="K8" s="19">
        <v>1</v>
      </c>
      <c r="L8" s="19">
        <v>13</v>
      </c>
      <c r="M8" s="18">
        <v>0</v>
      </c>
      <c r="N8" s="19" t="s">
        <v>45</v>
      </c>
    </row>
    <row r="9" spans="1:14" s="11" customFormat="1" ht="96" customHeight="1" x14ac:dyDescent="0.3">
      <c r="A9" s="18" t="s">
        <v>46</v>
      </c>
      <c r="B9" s="19" t="s">
        <v>47</v>
      </c>
      <c r="C9" s="19" t="s">
        <v>48</v>
      </c>
      <c r="D9" s="19" t="s">
        <v>49</v>
      </c>
      <c r="E9" s="19" t="s">
        <v>50</v>
      </c>
      <c r="F9" s="19" t="s">
        <v>51</v>
      </c>
      <c r="G9" s="19" t="s">
        <v>52</v>
      </c>
      <c r="H9" s="18">
        <v>132</v>
      </c>
      <c r="I9" s="19">
        <v>123</v>
      </c>
      <c r="J9" s="19">
        <v>0</v>
      </c>
      <c r="K9" s="19">
        <v>7</v>
      </c>
      <c r="L9" s="19">
        <v>2</v>
      </c>
      <c r="M9" s="18">
        <v>132</v>
      </c>
      <c r="N9" s="19" t="s">
        <v>53</v>
      </c>
    </row>
    <row r="10" spans="1:14" s="11" customFormat="1" ht="96" customHeight="1" x14ac:dyDescent="0.3">
      <c r="A10" s="15" t="s">
        <v>46</v>
      </c>
      <c r="B10" s="15" t="s">
        <v>54</v>
      </c>
      <c r="C10" s="15" t="s">
        <v>55</v>
      </c>
      <c r="D10" s="15" t="s">
        <v>56</v>
      </c>
      <c r="E10" s="15" t="s">
        <v>57</v>
      </c>
      <c r="F10" s="15" t="s">
        <v>58</v>
      </c>
      <c r="G10" s="15" t="s">
        <v>36</v>
      </c>
      <c r="H10" s="17">
        <v>358</v>
      </c>
      <c r="I10" s="15">
        <v>262</v>
      </c>
      <c r="J10" s="15">
        <v>1</v>
      </c>
      <c r="K10" s="15">
        <v>80</v>
      </c>
      <c r="L10" s="15">
        <v>15</v>
      </c>
      <c r="M10" s="15">
        <v>68</v>
      </c>
      <c r="N10" s="15" t="s">
        <v>59</v>
      </c>
    </row>
    <row r="11" spans="1:14" s="11" customFormat="1" ht="226.2" customHeight="1" x14ac:dyDescent="0.3">
      <c r="A11" s="15" t="s">
        <v>60</v>
      </c>
      <c r="B11" s="16" t="s">
        <v>61</v>
      </c>
      <c r="C11" s="16" t="s">
        <v>62</v>
      </c>
      <c r="D11" s="16" t="s">
        <v>63</v>
      </c>
      <c r="E11" s="16" t="s">
        <v>64</v>
      </c>
      <c r="F11" s="16" t="s">
        <v>65</v>
      </c>
      <c r="G11" s="16" t="s">
        <v>36</v>
      </c>
      <c r="H11" s="15">
        <v>105</v>
      </c>
      <c r="I11" s="16">
        <v>39</v>
      </c>
      <c r="J11" s="16">
        <v>4</v>
      </c>
      <c r="K11" s="16">
        <v>12</v>
      </c>
      <c r="L11" s="16">
        <v>50</v>
      </c>
      <c r="M11" s="15">
        <v>0</v>
      </c>
      <c r="N11" s="16" t="s">
        <v>66</v>
      </c>
    </row>
    <row r="12" spans="1:14" s="11" customFormat="1" ht="96" customHeight="1" x14ac:dyDescent="0.3">
      <c r="A12" s="12" t="s">
        <v>67</v>
      </c>
      <c r="B12" s="13" t="s">
        <v>68</v>
      </c>
      <c r="C12" s="13" t="s">
        <v>69</v>
      </c>
      <c r="D12" s="13" t="s">
        <v>70</v>
      </c>
      <c r="E12" s="13" t="s">
        <v>67</v>
      </c>
      <c r="F12" s="13" t="s">
        <v>67</v>
      </c>
      <c r="G12" s="13" t="s">
        <v>67</v>
      </c>
      <c r="H12" s="12">
        <v>22</v>
      </c>
      <c r="I12" s="13">
        <v>22</v>
      </c>
      <c r="J12" s="13">
        <v>0</v>
      </c>
      <c r="K12" s="13">
        <v>0</v>
      </c>
      <c r="L12" s="13">
        <v>0</v>
      </c>
      <c r="M12" s="12">
        <v>22</v>
      </c>
      <c r="N12" s="13" t="s">
        <v>71</v>
      </c>
    </row>
    <row r="13" spans="1:14" x14ac:dyDescent="0.4">
      <c r="G13" s="3" t="s">
        <v>72</v>
      </c>
      <c r="H13" s="4">
        <f t="shared" ref="H13:M13" si="0">SUM(H5:H12)</f>
        <v>686</v>
      </c>
      <c r="I13" s="4">
        <f t="shared" si="0"/>
        <v>480</v>
      </c>
      <c r="J13" s="4">
        <f t="shared" si="0"/>
        <v>5</v>
      </c>
      <c r="K13" s="4">
        <f t="shared" si="0"/>
        <v>120</v>
      </c>
      <c r="L13" s="4">
        <f t="shared" si="0"/>
        <v>81</v>
      </c>
      <c r="M13" s="4">
        <f t="shared" si="0"/>
        <v>275</v>
      </c>
      <c r="N13" s="2" t="s">
        <v>73</v>
      </c>
    </row>
    <row r="14" spans="1:14" x14ac:dyDescent="0.4">
      <c r="G14" s="3" t="s">
        <v>74</v>
      </c>
      <c r="M14" s="5">
        <f>M13/H13</f>
        <v>0.4008746355685131</v>
      </c>
      <c r="N14" s="2" t="s">
        <v>75</v>
      </c>
    </row>
    <row r="16" spans="1:14" x14ac:dyDescent="0.4">
      <c r="A16" s="6" t="s">
        <v>76</v>
      </c>
    </row>
    <row r="17" spans="1:1" x14ac:dyDescent="0.4">
      <c r="A17" s="7" t="s">
        <v>77</v>
      </c>
    </row>
    <row r="18" spans="1:1" x14ac:dyDescent="0.4">
      <c r="A18" s="7" t="s">
        <v>78</v>
      </c>
    </row>
    <row r="19" spans="1:1" x14ac:dyDescent="0.4">
      <c r="A19" s="7" t="s">
        <v>79</v>
      </c>
    </row>
    <row r="20" spans="1:1" x14ac:dyDescent="0.4">
      <c r="A20" s="7" t="s">
        <v>80</v>
      </c>
    </row>
    <row r="21" spans="1:1" x14ac:dyDescent="0.4">
      <c r="A21" s="7" t="s">
        <v>81</v>
      </c>
    </row>
    <row r="22" spans="1:1" x14ac:dyDescent="0.4">
      <c r="A22" s="7" t="s">
        <v>82</v>
      </c>
    </row>
    <row r="23" spans="1:1" x14ac:dyDescent="0.4">
      <c r="A23" s="7" t="s">
        <v>83</v>
      </c>
    </row>
  </sheetData>
  <phoneticPr fontId="9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7.399999999999999" x14ac:dyDescent="0.4"/>
  <cols>
    <col min="1" max="1" width="14" customWidth="1"/>
    <col min="2" max="2" width="90" customWidth="1"/>
  </cols>
  <sheetData>
    <row r="1" spans="1:2" x14ac:dyDescent="0.4">
      <c r="A1" s="8" t="s">
        <v>84</v>
      </c>
      <c r="B1" s="8" t="s">
        <v>85</v>
      </c>
    </row>
    <row r="2" spans="1:2" x14ac:dyDescent="0.4">
      <c r="A2" s="9" t="s">
        <v>86</v>
      </c>
      <c r="B2" s="10" t="s">
        <v>87</v>
      </c>
    </row>
    <row r="3" spans="1:2" x14ac:dyDescent="0.4">
      <c r="A3" s="9" t="s">
        <v>88</v>
      </c>
      <c r="B3" s="10" t="s">
        <v>89</v>
      </c>
    </row>
    <row r="4" spans="1:2" x14ac:dyDescent="0.4">
      <c r="A4" s="9" t="s">
        <v>90</v>
      </c>
      <c r="B4" s="10" t="s">
        <v>91</v>
      </c>
    </row>
    <row r="5" spans="1:2" x14ac:dyDescent="0.4">
      <c r="A5" s="9" t="s">
        <v>92</v>
      </c>
      <c r="B5" s="10" t="s">
        <v>93</v>
      </c>
    </row>
    <row r="6" spans="1:2" x14ac:dyDescent="0.4">
      <c r="A6" s="9" t="s">
        <v>94</v>
      </c>
      <c r="B6" s="10" t="s">
        <v>95</v>
      </c>
    </row>
    <row r="7" spans="1:2" x14ac:dyDescent="0.4">
      <c r="A7" s="9" t="s">
        <v>96</v>
      </c>
      <c r="B7" s="10" t="s">
        <v>97</v>
      </c>
    </row>
    <row r="8" spans="1:2" x14ac:dyDescent="0.4">
      <c r="A8" s="9" t="s">
        <v>98</v>
      </c>
      <c r="B8" s="10" t="s">
        <v>99</v>
      </c>
    </row>
    <row r="9" spans="1:2" x14ac:dyDescent="0.4">
      <c r="A9" s="9" t="s">
        <v>100</v>
      </c>
      <c r="B9" s="10" t="s">
        <v>101</v>
      </c>
    </row>
    <row r="10" spans="1:2" x14ac:dyDescent="0.4">
      <c r="A10" s="9" t="s">
        <v>102</v>
      </c>
      <c r="B10" s="10" t="s">
        <v>103</v>
      </c>
    </row>
    <row r="11" spans="1:2" x14ac:dyDescent="0.4">
      <c r="A11" s="9" t="s">
        <v>104</v>
      </c>
      <c r="B11" s="10" t="s">
        <v>105</v>
      </c>
    </row>
    <row r="12" spans="1:2" ht="34.799999999999997" customHeight="1" x14ac:dyDescent="0.4">
      <c r="A12" s="9" t="s">
        <v>106</v>
      </c>
      <c r="B12" s="10" t="s">
        <v>107</v>
      </c>
    </row>
    <row r="13" spans="1:2" x14ac:dyDescent="0.4">
      <c r="A13" s="9" t="s">
        <v>108</v>
      </c>
      <c r="B13" s="10" t="s">
        <v>109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보류 해결방안</vt:lpstr>
      <vt:lpstr>dev 실측 조건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소라 권</cp:lastModifiedBy>
  <dcterms:created xsi:type="dcterms:W3CDTF">2026-10-15T02:44:30Z</dcterms:created>
  <dcterms:modified xsi:type="dcterms:W3CDTF">2026-10-15T03:14:33Z</dcterms:modified>
</cp:coreProperties>
</file>