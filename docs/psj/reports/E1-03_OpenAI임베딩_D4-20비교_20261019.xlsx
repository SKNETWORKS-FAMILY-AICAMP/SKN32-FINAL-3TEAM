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비교표" sheetId="1" state="visible" r:id="rId3"/>
    <sheet name="읽은 것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E1-00 · E1-02 · E1-03 </t>
        </r>
        <r>
          <rPr>
            <sz val="10"/>
            <rFont val="Noto Sans CJK SC"/>
            <family val="2"/>
          </rPr>
          <t xml:space="preserve">등록 규칙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차이가 </t>
        </r>
        <r>
          <rPr>
            <sz val="10"/>
            <rFont val="Arial"/>
            <family val="2"/>
          </rPr>
          <t xml:space="preserve">±0.02 </t>
        </r>
        <r>
          <rPr>
            <sz val="10"/>
            <rFont val="Noto Sans CJK SC"/>
            <family val="2"/>
          </rPr>
          <t xml:space="preserve">이내면 「동등」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넘으면 높은 쪽 「우세」 </t>
        </r>
        <r>
          <rPr>
            <sz val="10"/>
            <rFont val="Arial"/>
            <family val="2"/>
          </rPr>
          <t xml:space="preserve">(D4 </t>
        </r>
        <r>
          <rPr>
            <sz val="10"/>
            <rFont val="Noto Sans CJK SC"/>
            <family val="2"/>
          </rPr>
          <t xml:space="preserve">실험기록 </t>
        </r>
        <r>
          <rPr>
            <sz val="10"/>
            <rFont val="Arial"/>
            <family val="2"/>
          </rPr>
          <t xml:space="preserve">E1-03).</t>
        </r>
      </text>
    </comment>
  </commentList>
</comments>
</file>

<file path=xl/sharedStrings.xml><?xml version="1.0" encoding="utf-8"?>
<sst xmlns="http://schemas.openxmlformats.org/spreadsheetml/2006/main" count="81" uniqueCount="53">
  <si>
    <r>
      <rPr>
        <b val="true"/>
        <sz val="13"/>
        <rFont val="Arial"/>
        <family val="0"/>
        <charset val="1"/>
      </rPr>
      <t xml:space="preserve">E1-03 OpenAI </t>
    </r>
    <r>
      <rPr>
        <b val="true"/>
        <sz val="13"/>
        <rFont val="Noto Sans CJK SC"/>
        <family val="2"/>
      </rPr>
      <t xml:space="preserve">임베딩 </t>
    </r>
    <r>
      <rPr>
        <b val="true"/>
        <sz val="13"/>
        <rFont val="Arial"/>
        <family val="0"/>
        <charset val="1"/>
      </rPr>
      <t xml:space="preserve">vs D4-20 (KcBERT </t>
    </r>
    <r>
      <rPr>
        <b val="true"/>
        <sz val="13"/>
        <rFont val="Noto Sans CJK SC"/>
        <family val="2"/>
      </rPr>
      <t xml:space="preserve">파인튜닝</t>
    </r>
    <r>
      <rPr>
        <b val="true"/>
        <sz val="13"/>
        <rFont val="Arial"/>
        <family val="0"/>
        <charset val="1"/>
      </rPr>
      <t xml:space="preserve">) — dev </t>
    </r>
    <r>
      <rPr>
        <b val="true"/>
        <sz val="13"/>
        <rFont val="Noto Sans CJK SC"/>
        <family val="2"/>
      </rPr>
      <t xml:space="preserve">비교</t>
    </r>
  </si>
  <si>
    <r>
      <rPr>
        <sz val="9"/>
        <color rgb="FF555555"/>
        <rFont val="Noto Sans CJK SC"/>
        <family val="2"/>
      </rPr>
      <t xml:space="preserve">골든 </t>
    </r>
    <r>
      <rPr>
        <sz val="9"/>
        <color rgb="FF555555"/>
        <rFont val="Arial"/>
        <family val="0"/>
        <charset val="1"/>
      </rPr>
      <t xml:space="preserve">94a79fe34363 · </t>
    </r>
    <r>
      <rPr>
        <sz val="9"/>
        <color rgb="FF555555"/>
        <rFont val="Noto Sans CJK SC"/>
        <family val="2"/>
      </rPr>
      <t xml:space="preserve">확장 </t>
    </r>
    <r>
      <rPr>
        <sz val="9"/>
        <color rgb="FF555555"/>
        <rFont val="Arial"/>
        <family val="0"/>
        <charset val="1"/>
      </rPr>
      <t xml:space="preserve">dev 1,147</t>
    </r>
    <r>
      <rPr>
        <sz val="9"/>
        <color rgb="FF555555"/>
        <rFont val="Noto Sans CJK SC"/>
        <family val="2"/>
      </rPr>
      <t xml:space="preserve">행 </t>
    </r>
    <r>
      <rPr>
        <sz val="9"/>
        <color rgb="FF555555"/>
        <rFont val="Arial"/>
        <family val="0"/>
        <charset val="1"/>
      </rPr>
      <t xml:space="preserve">· 8</t>
    </r>
    <r>
      <rPr>
        <sz val="9"/>
        <color rgb="FF555555"/>
        <rFont val="Noto Sans CJK SC"/>
        <family val="2"/>
      </rPr>
      <t xml:space="preserve">종 문턱 </t>
    </r>
    <r>
      <rPr>
        <sz val="9"/>
        <color rgb="FF555555"/>
        <rFont val="Arial"/>
        <family val="0"/>
        <charset val="1"/>
      </rPr>
      <t xml:space="preserve">V1(D-324 + δ 0.03) · D4-20 </t>
    </r>
    <r>
      <rPr>
        <sz val="9"/>
        <color rgb="FF555555"/>
        <rFont val="Noto Sans CJK SC"/>
        <family val="2"/>
      </rPr>
      <t xml:space="preserve">은 시드 </t>
    </r>
    <r>
      <rPr>
        <sz val="9"/>
        <color rgb="FF555555"/>
        <rFont val="Arial"/>
        <family val="0"/>
        <charset val="1"/>
      </rPr>
      <t xml:space="preserve">48·49·50 </t>
    </r>
    <r>
      <rPr>
        <sz val="9"/>
        <color rgb="FF555555"/>
        <rFont val="Noto Sans CJK SC"/>
        <family val="2"/>
      </rPr>
      <t xml:space="preserve">평균 </t>
    </r>
    <r>
      <rPr>
        <sz val="9"/>
        <color rgb="FF555555"/>
        <rFont val="Arial"/>
        <family val="0"/>
        <charset val="1"/>
      </rPr>
      <t xml:space="preserve">· OpenAI </t>
    </r>
    <r>
      <rPr>
        <sz val="9"/>
        <color rgb="FF555555"/>
        <rFont val="Noto Sans CJK SC"/>
        <family val="2"/>
      </rPr>
      <t xml:space="preserve">는 결정적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Noto Sans CJK SC"/>
        <family val="2"/>
      </rPr>
      <t xml:space="preserve">한 번 학습</t>
    </r>
    <r>
      <rPr>
        <sz val="9"/>
        <color rgb="FF555555"/>
        <rFont val="Arial"/>
        <family val="0"/>
        <charset val="1"/>
      </rPr>
      <t xml:space="preserve">) · 2026-10-19</t>
    </r>
  </si>
  <si>
    <r>
      <rPr>
        <b val="true"/>
        <sz val="11"/>
        <rFont val="Noto Sans CJK SC"/>
        <family val="2"/>
      </rPr>
      <t xml:space="preserve">동등 판단 폭 </t>
    </r>
    <r>
      <rPr>
        <b val="true"/>
        <sz val="11"/>
        <rFont val="Arial"/>
        <family val="0"/>
        <charset val="1"/>
      </rPr>
      <t xml:space="preserve">(6</t>
    </r>
    <r>
      <rPr>
        <b val="true"/>
        <sz val="11"/>
        <rFont val="Noto Sans CJK SC"/>
        <family val="2"/>
      </rPr>
      <t xml:space="preserve">종 </t>
    </r>
    <r>
      <rPr>
        <b val="true"/>
        <sz val="11"/>
        <rFont val="Arial"/>
        <family val="0"/>
        <charset val="1"/>
      </rPr>
      <t xml:space="preserve">PR-AUC </t>
    </r>
    <r>
      <rPr>
        <b val="true"/>
        <sz val="11"/>
        <rFont val="Noto Sans CJK SC"/>
        <family val="2"/>
      </rPr>
      <t xml:space="preserve">차이</t>
    </r>
    <r>
      <rPr>
        <b val="true"/>
        <sz val="11"/>
        <rFont val="Arial"/>
        <family val="0"/>
        <charset val="1"/>
      </rPr>
      <t xml:space="preserve">)</t>
    </r>
  </si>
  <si>
    <t xml:space="preserve">입력</t>
  </si>
  <si>
    <t xml:space="preserve">지표</t>
  </si>
  <si>
    <t xml:space="preserve">D4-20 (KcBERT)</t>
  </si>
  <si>
    <t xml:space="preserve">OpenAI small</t>
  </si>
  <si>
    <t xml:space="preserve">OpenAI large</t>
  </si>
  <si>
    <t xml:space="preserve">small − D4-20</t>
  </si>
  <si>
    <t xml:space="preserve">large − D4-20</t>
  </si>
  <si>
    <r>
      <rPr>
        <b val="true"/>
        <sz val="11"/>
        <rFont val="Noto Sans CJK SC"/>
        <family val="2"/>
      </rPr>
      <t xml:space="preserve">판정 </t>
    </r>
    <r>
      <rPr>
        <b val="true"/>
        <sz val="11"/>
        <rFont val="Arial"/>
        <family val="0"/>
        <charset val="1"/>
      </rPr>
      <t xml:space="preserve">(PR-AUC </t>
    </r>
    <r>
      <rPr>
        <b val="true"/>
        <sz val="11"/>
        <rFont val="Noto Sans CJK SC"/>
        <family val="2"/>
      </rPr>
      <t xml:space="preserve">만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</si>
  <si>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가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품목</t>
    </r>
  </si>
  <si>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종 </t>
    </r>
    <r>
      <rPr>
        <sz val="11"/>
        <rFont val="Arial"/>
        <family val="0"/>
        <charset val="1"/>
      </rPr>
      <t xml:space="preserve">PR-AUC</t>
    </r>
  </si>
  <si>
    <r>
      <rPr>
        <sz val="11"/>
        <rFont val="Noto Sans CJK SC"/>
        <family val="2"/>
      </rPr>
      <t xml:space="preserve">위반 탐지 </t>
    </r>
    <r>
      <rPr>
        <sz val="11"/>
        <rFont val="Arial"/>
        <family val="0"/>
        <charset val="1"/>
      </rPr>
      <t xml:space="preserve">(/760)</t>
    </r>
  </si>
  <si>
    <t xml:space="preserve">정답 유형 적중</t>
  </si>
  <si>
    <t xml:space="preserve">유형 오인</t>
  </si>
  <si>
    <t xml:space="preserve">놓침</t>
  </si>
  <si>
    <r>
      <rPr>
        <sz val="11"/>
        <rFont val="Noto Sans CJK SC"/>
        <family val="2"/>
      </rPr>
      <t xml:space="preserve">음성</t>
    </r>
    <r>
      <rPr>
        <sz val="11"/>
        <rFont val="Arial"/>
        <family val="0"/>
        <charset val="1"/>
      </rPr>
      <t xml:space="preserve">(D · L) </t>
    </r>
    <r>
      <rPr>
        <sz val="11"/>
        <rFont val="Noto Sans CJK SC"/>
        <family val="2"/>
      </rPr>
      <t xml:space="preserve">오판정</t>
    </r>
  </si>
  <si>
    <r>
      <rPr>
        <sz val="11"/>
        <rFont val="Noto Sans CJK SC"/>
        <family val="2"/>
      </rPr>
      <t xml:space="preserve">정상 문구 </t>
    </r>
    <r>
      <rPr>
        <sz val="11"/>
        <rFont val="Arial"/>
        <family val="0"/>
        <charset val="1"/>
      </rPr>
      <t xml:space="preserve">171 </t>
    </r>
    <r>
      <rPr>
        <sz val="11"/>
        <rFont val="Noto Sans CJK SC"/>
        <family val="2"/>
      </rPr>
      <t xml:space="preserve">후보</t>
    </r>
  </si>
  <si>
    <r>
      <rPr>
        <sz val="11"/>
        <rFont val="Noto Sans CJK SC"/>
        <family val="2"/>
      </rPr>
      <t xml:space="preserve">기능성 적중 </t>
    </r>
    <r>
      <rPr>
        <sz val="11"/>
        <rFont val="Arial"/>
        <family val="0"/>
        <charset val="1"/>
      </rPr>
      <t xml:space="preserve">(/5)</t>
    </r>
  </si>
  <si>
    <t xml:space="preserve">기능성 후보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</si>
  <si>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나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모름</t>
    </r>
  </si>
  <si>
    <r>
      <rPr>
        <sz val="9"/>
        <color rgb="FF555555"/>
        <rFont val="Noto Sans CJK SC"/>
        <family val="2"/>
      </rPr>
      <t xml:space="preserve">출처</t>
    </r>
    <r>
      <rPr>
        <sz val="9"/>
        <color rgb="FF555555"/>
        <rFont val="Arial"/>
        <family val="0"/>
        <charset val="1"/>
      </rPr>
      <t xml:space="preserve">: D4-20 = docs/psj/reports/D4-20_</t>
    </r>
    <r>
      <rPr>
        <sz val="9"/>
        <color rgb="FF555555"/>
        <rFont val="Noto Sans CJK SC"/>
        <family val="2"/>
      </rPr>
      <t xml:space="preserve">기능성편입</t>
    </r>
    <r>
      <rPr>
        <sz val="9"/>
        <color rgb="FF555555"/>
        <rFont val="Arial"/>
        <family val="0"/>
        <charset val="1"/>
      </rPr>
      <t xml:space="preserve">_dev_20261018.md · OpenAI = docs/psj/reports/E1-03_OpenAI</t>
    </r>
    <r>
      <rPr>
        <sz val="9"/>
        <color rgb="FF555555"/>
        <rFont val="Noto Sans CJK SC"/>
        <family val="2"/>
      </rPr>
      <t xml:space="preserve">임베딩</t>
    </r>
    <r>
      <rPr>
        <sz val="9"/>
        <color rgb="FF555555"/>
        <rFont val="Arial"/>
        <family val="0"/>
        <charset val="1"/>
      </rPr>
      <t xml:space="preserve">_{small,large}_D4-20</t>
    </r>
    <r>
      <rPr>
        <sz val="9"/>
        <color rgb="FF555555"/>
        <rFont val="Noto Sans CJK SC"/>
        <family val="2"/>
      </rPr>
      <t xml:space="preserve">기준</t>
    </r>
    <r>
      <rPr>
        <sz val="9"/>
        <color rgb="FF555555"/>
        <rFont val="Arial"/>
        <family val="0"/>
        <charset val="1"/>
      </rPr>
      <t xml:space="preserve">_dev_20261019.md (d4_20_functional.py </t>
    </r>
    <r>
      <rPr>
        <sz val="9"/>
        <color rgb="FF555555"/>
        <rFont val="Noto Sans CJK SC"/>
        <family val="2"/>
      </rPr>
      <t xml:space="preserve">로컬 채점</t>
    </r>
    <r>
      <rPr>
        <sz val="9"/>
        <color rgb="FF555555"/>
        <rFont val="Arial"/>
        <family val="0"/>
        <charset val="1"/>
      </rPr>
      <t xml:space="preserve">). </t>
    </r>
    <r>
      <rPr>
        <sz val="9"/>
        <color rgb="FF555555"/>
        <rFont val="Noto Sans CJK SC"/>
        <family val="2"/>
      </rPr>
      <t xml:space="preserve">파란 숫자는 그 집계표에서 옮긴 값</t>
    </r>
    <r>
      <rPr>
        <sz val="9"/>
        <color rgb="FF555555"/>
        <rFont val="Arial"/>
        <family val="0"/>
        <charset val="1"/>
      </rPr>
      <t xml:space="preserve">.</t>
    </r>
  </si>
  <si>
    <r>
      <rPr>
        <sz val="9"/>
        <color rgb="FF555555"/>
        <rFont val="Arial"/>
        <family val="0"/>
        <charset val="1"/>
      </rPr>
      <t xml:space="preserve">D4-20 </t>
    </r>
    <r>
      <rPr>
        <sz val="9"/>
        <color rgb="FF555555"/>
        <rFont val="Noto Sans CJK SC"/>
        <family val="2"/>
      </rPr>
      <t xml:space="preserve">은 시드 평균이라 소수 첫째 자리 </t>
    </r>
    <r>
      <rPr>
        <sz val="9"/>
        <color rgb="FF555555"/>
        <rFont val="Arial"/>
        <family val="0"/>
        <charset val="1"/>
      </rPr>
      <t xml:space="preserve">· OpenAI </t>
    </r>
    <r>
      <rPr>
        <sz val="9"/>
        <color rgb="FF555555"/>
        <rFont val="Noto Sans CJK SC"/>
        <family val="2"/>
      </rPr>
      <t xml:space="preserve">는 결정적이라 정수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「낮을수록 좋다」</t>
    </r>
    <r>
      <rPr>
        <sz val="9"/>
        <color rgb="FF555555"/>
        <rFont val="Arial"/>
        <family val="0"/>
        <charset val="1"/>
      </rPr>
      <t xml:space="preserve">: </t>
    </r>
    <r>
      <rPr>
        <sz val="9"/>
        <color rgb="FF555555"/>
        <rFont val="Noto Sans CJK SC"/>
        <family val="2"/>
      </rPr>
      <t xml:space="preserve">유형 오인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놓침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음성 오판정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정상 문구 후보</t>
    </r>
    <r>
      <rPr>
        <sz val="9"/>
        <color rgb="FF555555"/>
        <rFont val="Arial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</si>
  <si>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응답 시간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문장 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개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배치 </t>
    </r>
    <r>
      <rPr>
        <b val="true"/>
        <sz val="11"/>
        <rFont val="Arial"/>
        <family val="0"/>
        <charset val="1"/>
      </rPr>
      <t xml:space="preserve">1)</t>
    </r>
  </si>
  <si>
    <t xml:space="preserve">모델</t>
  </si>
  <si>
    <r>
      <rPr>
        <b val="true"/>
        <sz val="11"/>
        <rFont val="Noto Sans CJK SC"/>
        <family val="2"/>
      </rPr>
      <t xml:space="preserve">중앙값 </t>
    </r>
    <r>
      <rPr>
        <b val="true"/>
        <sz val="11"/>
        <rFont val="Arial"/>
        <family val="0"/>
        <charset val="1"/>
      </rPr>
      <t xml:space="preserve">(ms)</t>
    </r>
  </si>
  <si>
    <t xml:space="preserve">90% (ms)</t>
  </si>
  <si>
    <t xml:space="preserve">잰 곳</t>
  </si>
  <si>
    <t xml:space="preserve">KcBERT (D4-10)</t>
  </si>
  <si>
    <t xml:space="preserve">—</t>
  </si>
  <si>
    <r>
      <rPr>
        <sz val="9"/>
        <rFont val="Noto Sans CJK SC"/>
        <family val="2"/>
      </rPr>
      <t xml:space="preserve">클라우드 </t>
    </r>
    <r>
      <rPr>
        <sz val="9"/>
        <rFont val="Arial"/>
        <family val="0"/>
        <charset val="1"/>
      </rPr>
      <t xml:space="preserve">CPU 2</t>
    </r>
    <r>
      <rPr>
        <sz val="9"/>
        <rFont val="Noto Sans CJK SC"/>
        <family val="2"/>
      </rPr>
      <t xml:space="preserve">코어 </t>
    </r>
    <r>
      <rPr>
        <sz val="9"/>
        <rFont val="Arial"/>
        <family val="0"/>
        <charset val="1"/>
      </rPr>
      <t xml:space="preserve">· D4-10 </t>
    </r>
    <r>
      <rPr>
        <sz val="9"/>
        <rFont val="Noto Sans CJK SC"/>
        <family val="2"/>
      </rPr>
      <t xml:space="preserve">때 잰 값</t>
    </r>
  </si>
  <si>
    <r>
      <rPr>
        <sz val="9"/>
        <rFont val="Arial"/>
        <family val="0"/>
        <charset val="1"/>
      </rPr>
      <t xml:space="preserve">Colab → OpenAI API (</t>
    </r>
    <r>
      <rPr>
        <sz val="9"/>
        <rFont val="Noto Sans CJK SC"/>
        <family val="2"/>
      </rPr>
      <t xml:space="preserve">네트워크 포함</t>
    </r>
    <r>
      <rPr>
        <sz val="9"/>
        <rFont val="Arial"/>
        <family val="0"/>
        <charset val="1"/>
      </rPr>
      <t xml:space="preserve">)</t>
    </r>
  </si>
  <si>
    <r>
      <rPr>
        <sz val="9"/>
        <color rgb="FFB23A3A"/>
        <rFont val="Noto Sans CJK SC"/>
        <family val="2"/>
      </rPr>
      <t xml:space="preserve">🚨 기기 </t>
    </r>
    <r>
      <rPr>
        <sz val="9"/>
        <color rgb="FFB23A3A"/>
        <rFont val="Arial"/>
        <family val="0"/>
        <charset val="1"/>
      </rPr>
      <t xml:space="preserve">· </t>
    </r>
    <r>
      <rPr>
        <sz val="9"/>
        <color rgb="FFB23A3A"/>
        <rFont val="Noto Sans CJK SC"/>
        <family val="2"/>
      </rPr>
      <t xml:space="preserve">네트워크가 달라 직접 비교는 아니다</t>
    </r>
  </si>
  <si>
    <r>
      <rPr>
        <b val="true"/>
        <sz val="13"/>
        <rFont val="Arial"/>
        <family val="0"/>
        <charset val="1"/>
      </rPr>
      <t xml:space="preserve">E1-03 — </t>
    </r>
    <r>
      <rPr>
        <b val="true"/>
        <sz val="13"/>
        <rFont val="Noto Sans CJK SC"/>
        <family val="2"/>
      </rPr>
      <t xml:space="preserve">읽은 것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Noto Sans CJK SC"/>
        <family val="2"/>
      </rPr>
      <t xml:space="preserve">한계</t>
    </r>
  </si>
  <si>
    <t xml:space="preserve">판정</t>
  </si>
  <si>
    <r>
      <rPr>
        <sz val="11"/>
        <rFont val="Arial"/>
        <family val="0"/>
        <charset val="1"/>
      </rPr>
      <t xml:space="preserve">small · large </t>
    </r>
    <r>
      <rPr>
        <sz val="11"/>
        <rFont val="Noto Sans CJK SC"/>
        <family val="2"/>
      </rPr>
      <t xml:space="preserve">모두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두 입력 모두 「</t>
    </r>
    <r>
      <rPr>
        <sz val="11"/>
        <rFont val="Arial"/>
        <family val="0"/>
        <charset val="1"/>
      </rPr>
      <t xml:space="preserve">D4-20(KcBERT) </t>
    </r>
    <r>
      <rPr>
        <sz val="11"/>
        <rFont val="Noto Sans CJK SC"/>
        <family val="2"/>
      </rPr>
      <t xml:space="preserve">우세」 — 등록 규칙</t>
    </r>
    <r>
      <rPr>
        <sz val="11"/>
        <rFont val="Arial"/>
        <family val="0"/>
        <charset val="1"/>
      </rPr>
      <t xml:space="preserve">(PR-AUC ±0.02 </t>
    </r>
    <r>
      <rPr>
        <sz val="11"/>
        <rFont val="Noto Sans CJK SC"/>
        <family val="2"/>
      </rPr>
      <t xml:space="preserve">이내 동등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밖</t>
    </r>
  </si>
  <si>
    <t xml:space="preserve">결론이 그대로</t>
  </si>
  <si>
    <r>
      <rPr>
        <sz val="11"/>
        <rFont val="Arial"/>
        <family val="0"/>
        <charset val="1"/>
      </rPr>
      <t xml:space="preserve">large </t>
    </r>
    <r>
      <rPr>
        <sz val="11"/>
        <rFont val="Noto Sans CJK SC"/>
        <family val="2"/>
      </rPr>
      <t xml:space="preserve">의 </t>
    </r>
    <r>
      <rPr>
        <sz val="11"/>
        <rFont val="Arial"/>
        <family val="0"/>
        <charset val="1"/>
      </rPr>
      <t xml:space="preserve">PR-AUC </t>
    </r>
    <r>
      <rPr>
        <sz val="11"/>
        <rFont val="Noto Sans CJK SC"/>
        <family val="2"/>
      </rPr>
      <t xml:space="preserve">차이 −</t>
    </r>
    <r>
      <rPr>
        <sz val="11"/>
        <rFont val="Arial"/>
        <family val="0"/>
        <charset val="1"/>
      </rPr>
      <t xml:space="preserve">0.032 · −0.035 — E1-02(D4-10 </t>
    </r>
    <r>
      <rPr>
        <sz val="11"/>
        <rFont val="Noto Sans CJK SC"/>
        <family val="2"/>
      </rPr>
      <t xml:space="preserve">기준 −</t>
    </r>
    <r>
      <rPr>
        <sz val="11"/>
        <rFont val="Arial"/>
        <family val="0"/>
        <charset val="1"/>
      </rPr>
      <t xml:space="preserve">0.032 · −0.044)</t>
    </r>
    <r>
      <rPr>
        <sz val="11"/>
        <rFont val="Noto Sans CJK SC"/>
        <family val="2"/>
      </rPr>
      <t xml:space="preserve">와 같은 꼴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판이 바뀌어도 결론은 같다</t>
    </r>
  </si>
  <si>
    <t xml:space="preserve">가장 큰 차이</t>
  </si>
  <si>
    <r>
      <rPr>
        <sz val="11"/>
        <rFont val="Noto Sans CJK SC"/>
        <family val="2"/>
      </rPr>
      <t xml:space="preserve">정상 문구를 위반으로 잡는 것 — </t>
    </r>
    <r>
      <rPr>
        <sz val="11"/>
        <rFont val="Arial"/>
        <family val="0"/>
        <charset val="1"/>
      </rPr>
      <t xml:space="preserve">large 18 · 33 </t>
    </r>
    <r>
      <rPr>
        <sz val="11"/>
        <rFont val="Noto Sans CJK SC"/>
        <family val="2"/>
      </rPr>
      <t xml:space="preserve">대 </t>
    </r>
    <r>
      <rPr>
        <sz val="11"/>
        <rFont val="Arial"/>
        <family val="0"/>
        <charset val="1"/>
      </rPr>
      <t xml:space="preserve">D4-20 2.3 · 6.7 (5 ~ 8</t>
    </r>
    <r>
      <rPr>
        <sz val="11"/>
        <rFont val="Noto Sans CJK SC"/>
        <family val="2"/>
      </rPr>
      <t xml:space="preserve">배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적법 원천</t>
    </r>
    <r>
      <rPr>
        <sz val="11"/>
        <rFont val="Arial"/>
        <family val="0"/>
        <charset val="1"/>
      </rPr>
      <t xml:space="preserve">(D · L) </t>
    </r>
    <r>
      <rPr>
        <sz val="11"/>
        <rFont val="Noto Sans CJK SC"/>
        <family val="2"/>
      </rPr>
      <t xml:space="preserve">오판정도 </t>
    </r>
    <r>
      <rPr>
        <sz val="11"/>
        <rFont val="Arial"/>
        <family val="0"/>
        <charset val="1"/>
      </rPr>
      <t xml:space="preserve">+14 ~ +17</t>
    </r>
  </si>
  <si>
    <t xml:space="preserve">해석</t>
  </si>
  <si>
    <r>
      <rPr>
        <sz val="11"/>
        <rFont val="Noto Sans CJK SC"/>
        <family val="2"/>
      </rPr>
      <t xml:space="preserve">범용 임베딩은 「광고 주장 같다」는 잡지만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적법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위반 경계는 우리 데이터로 파인튜닝한 인코더가 낫다</t>
    </r>
  </si>
  <si>
    <t xml:space="preserve">화장품 경계</t>
  </si>
  <si>
    <r>
      <rPr>
        <sz val="11"/>
        <rFont val="Arial"/>
        <family val="0"/>
        <charset val="1"/>
      </rPr>
      <t xml:space="preserve">large </t>
    </r>
    <r>
      <rPr>
        <sz val="11"/>
        <rFont val="Noto Sans CJK SC"/>
        <family val="2"/>
      </rPr>
      <t xml:space="preserve">도 「피부장벽 개선」 의약품 </t>
    </r>
    <r>
      <rPr>
        <sz val="11"/>
        <rFont val="Arial"/>
        <family val="0"/>
        <charset val="1"/>
      </rPr>
      <t xml:space="preserve">0.982 · </t>
    </r>
    <r>
      <rPr>
        <sz val="11"/>
        <rFont val="Noto Sans CJK SC"/>
        <family val="2"/>
      </rPr>
      <t xml:space="preserve">「</t>
    </r>
    <r>
      <rPr>
        <sz val="11"/>
        <rFont val="Arial"/>
        <family val="0"/>
        <charset val="1"/>
      </rPr>
      <t xml:space="preserve">ISO 22716 </t>
    </r>
    <r>
      <rPr>
        <sz val="11"/>
        <rFont val="Noto Sans CJK SC"/>
        <family val="2"/>
      </rPr>
      <t xml:space="preserve">인증」 의약품 </t>
    </r>
    <r>
      <rPr>
        <sz val="11"/>
        <rFont val="Arial"/>
        <family val="0"/>
        <charset val="1"/>
      </rPr>
      <t xml:space="preserve">0.992 · </t>
    </r>
    <r>
      <rPr>
        <sz val="11"/>
        <rFont val="Noto Sans CJK SC"/>
        <family val="2"/>
      </rPr>
      <t xml:space="preserve">「탄력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주름」 건강기능식품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오인 </t>
    </r>
    <r>
      <rPr>
        <sz val="11"/>
        <rFont val="Arial"/>
        <family val="0"/>
        <charset val="1"/>
      </rPr>
      <t xml:space="preserve">0.745 — </t>
    </r>
    <r>
      <rPr>
        <sz val="11"/>
        <rFont val="Noto Sans CJK SC"/>
        <family val="2"/>
      </rPr>
      <t xml:space="preserve">기능성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의약품 경계를 못 가른다</t>
    </r>
  </si>
  <si>
    <t xml:space="preserve">비용</t>
  </si>
  <si>
    <r>
      <rPr>
        <sz val="11"/>
        <rFont val="Noto Sans CJK SC"/>
        <family val="2"/>
      </rPr>
      <t xml:space="preserve">임베딩 토큰 모델당 </t>
    </r>
    <r>
      <rPr>
        <sz val="11"/>
        <rFont val="Arial"/>
        <family val="0"/>
        <charset val="1"/>
      </rPr>
      <t xml:space="preserve">460,493 · </t>
    </r>
    <r>
      <rPr>
        <sz val="11"/>
        <rFont val="Noto Sans CJK SC"/>
        <family val="2"/>
      </rPr>
      <t xml:space="preserve">두 모델 합쳐 </t>
    </r>
    <r>
      <rPr>
        <sz val="11"/>
        <rFont val="Arial"/>
        <family val="0"/>
        <charset val="1"/>
      </rPr>
      <t xml:space="preserve">0.1</t>
    </r>
    <r>
      <rPr>
        <sz val="11"/>
        <rFont val="Noto Sans CJK SC"/>
        <family val="2"/>
      </rPr>
      <t xml:space="preserve">달러 미만 </t>
    </r>
    <r>
      <rPr>
        <sz val="11"/>
        <rFont val="Arial"/>
        <family val="0"/>
        <charset val="1"/>
      </rPr>
      <t xml:space="preserve">(small 41</t>
    </r>
    <r>
      <rPr>
        <sz val="11"/>
        <rFont val="Noto Sans CJK SC"/>
        <family val="2"/>
      </rPr>
      <t xml:space="preserve">초 </t>
    </r>
    <r>
      <rPr>
        <sz val="11"/>
        <rFont val="Arial"/>
        <family val="0"/>
        <charset val="1"/>
      </rPr>
      <t xml:space="preserve">· large 54</t>
    </r>
    <r>
      <rPr>
        <sz val="11"/>
        <rFont val="Noto Sans CJK SC"/>
        <family val="2"/>
      </rPr>
      <t xml:space="preserve">초</t>
    </r>
    <r>
      <rPr>
        <sz val="11"/>
        <rFont val="Arial"/>
        <family val="0"/>
        <charset val="1"/>
      </rPr>
      <t xml:space="preserve">)</t>
    </r>
  </si>
  <si>
    <t xml:space="preserve">한계</t>
  </si>
  <si>
    <r>
      <rPr>
        <sz val="11"/>
        <rFont val="Noto Sans CJK SC"/>
        <family val="2"/>
      </rPr>
      <t xml:space="preserve">분류기는 고정값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로지스틱 회귀 </t>
    </r>
    <r>
      <rPr>
        <sz val="11"/>
        <rFont val="Arial"/>
        <family val="0"/>
        <charset val="1"/>
      </rPr>
      <t xml:space="preserve">C 1.0 · balanced) — dev </t>
    </r>
    <r>
      <rPr>
        <sz val="11"/>
        <rFont val="Noto Sans CJK SC"/>
        <family val="2"/>
      </rPr>
      <t xml:space="preserve">로 고르면 조금 좁혀질 수 있다 </t>
    </r>
    <r>
      <rPr>
        <sz val="11"/>
        <rFont val="Arial"/>
        <family val="0"/>
        <charset val="1"/>
      </rPr>
      <t xml:space="preserve">· G1(eval_graph)</t>
    </r>
    <r>
      <rPr>
        <sz val="11"/>
        <rFont val="Noto Sans CJK SC"/>
        <family val="2"/>
      </rPr>
      <t xml:space="preserve">은 재지 않았다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발표용</t>
    </r>
    <r>
      <rPr>
        <sz val="11"/>
        <rFont val="Arial"/>
        <family val="0"/>
        <charset val="1"/>
      </rPr>
      <t xml:space="preserve">) · </t>
    </r>
    <r>
      <rPr>
        <sz val="11"/>
        <rFont val="Noto Sans CJK SC"/>
        <family val="2"/>
      </rPr>
      <t xml:space="preserve">응답 시간은 직접 비교가 아니다</t>
    </r>
  </si>
  <si>
    <t xml:space="preserve">설정</t>
  </si>
  <si>
    <r>
      <rPr>
        <sz val="11"/>
        <rFont val="Arial"/>
        <family val="0"/>
        <charset val="1"/>
      </rPr>
      <t xml:space="preserve">OpenAI text-embedding-3-small · large (</t>
    </r>
    <r>
      <rPr>
        <sz val="11"/>
        <rFont val="Noto Sans CJK SC"/>
        <family val="2"/>
      </rPr>
      <t xml:space="preserve">학습 안 함</t>
    </r>
    <r>
      <rPr>
        <sz val="11"/>
        <rFont val="Arial"/>
        <family val="0"/>
        <charset val="1"/>
      </rPr>
      <t xml:space="preserve">) → </t>
    </r>
    <r>
      <rPr>
        <sz val="11"/>
        <rFont val="Noto Sans CJK SC"/>
        <family val="2"/>
      </rPr>
      <t xml:space="preserve">표준화 → 유형마다 로지스틱 회귀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입력 「품목</t>
    </r>
    <r>
      <rPr>
        <sz val="11"/>
        <rFont val="Arial"/>
        <family val="0"/>
        <charset val="1"/>
      </rPr>
      <t xml:space="preserve">: …\n</t>
    </r>
    <r>
      <rPr>
        <sz val="11"/>
        <rFont val="Noto Sans CJK SC"/>
        <family val="2"/>
      </rPr>
      <t xml:space="preserve">문장</t>
    </r>
    <r>
      <rPr>
        <sz val="11"/>
        <rFont val="Arial"/>
        <family val="0"/>
        <charset val="1"/>
      </rPr>
      <t xml:space="preserve">: …</t>
    </r>
    <r>
      <rPr>
        <sz val="11"/>
        <rFont val="Noto Sans CJK SC"/>
        <family val="2"/>
      </rPr>
      <t xml:space="preserve">」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학습 행 </t>
    </r>
    <r>
      <rPr>
        <sz val="11"/>
        <rFont val="Arial"/>
        <family val="0"/>
        <charset val="1"/>
      </rPr>
      <t xml:space="preserve">5,310(D4-20 </t>
    </r>
    <r>
      <rPr>
        <sz val="11"/>
        <rFont val="Noto Sans CJK SC"/>
        <family val="2"/>
      </rPr>
      <t xml:space="preserve">과 같음</t>
    </r>
    <r>
      <rPr>
        <sz val="11"/>
        <rFont val="Arial"/>
        <family val="0"/>
        <charset val="1"/>
      </rPr>
      <t xml:space="preserve">) · </t>
    </r>
    <r>
      <rPr>
        <sz val="11"/>
        <rFont val="Noto Sans CJK SC"/>
        <family val="2"/>
      </rPr>
      <t xml:space="preserve">적법 원천 표본 가중 </t>
    </r>
    <r>
      <rPr>
        <sz val="11"/>
        <rFont val="Arial"/>
        <family val="0"/>
        <charset val="1"/>
      </rPr>
      <t xml:space="preserve">×2</t>
    </r>
  </si>
  <si>
    <t xml:space="preserve">채택</t>
  </si>
  <si>
    <r>
      <rPr>
        <sz val="11"/>
        <rFont val="Noto Sans CJK SC"/>
        <family val="2"/>
      </rPr>
      <t xml:space="preserve">발표용 비교 — 채택 판정이 아니다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배포 후보는 </t>
    </r>
    <r>
      <rPr>
        <sz val="11"/>
        <rFont val="Arial"/>
        <family val="0"/>
        <charset val="1"/>
      </rPr>
      <t xml:space="preserve">D4-20 </t>
    </r>
    <r>
      <rPr>
        <sz val="11"/>
        <rFont val="Noto Sans CJK SC"/>
        <family val="2"/>
      </rPr>
      <t xml:space="preserve">그대로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</si>
</sst>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\+0.0000;\-0.0000;0.0000"/>
    <numFmt numFmtId="167" formatCode="0.0"/>
    <numFmt numFmtId="168" formatCode="\+0.0;\-0.0;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55555"/>
      <name val="Noto Sans CJK SC"/>
      <family val="2"/>
    </font>
    <font>
      <sz val="9"/>
      <color rgb="FF555555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sz val="9"/>
      <name val="Noto Sans CJK SC"/>
      <family val="2"/>
    </font>
    <font>
      <sz val="9"/>
      <name val="Arial"/>
      <family val="0"/>
      <charset val="1"/>
    </font>
    <font>
      <sz val="9"/>
      <color rgb="FFB23A3A"/>
      <name val="Noto Sans CJK SC"/>
      <family val="2"/>
    </font>
    <font>
      <sz val="9"/>
      <color rgb="FFB23A3A"/>
      <name val="Arial"/>
      <family val="0"/>
      <charset val="1"/>
    </font>
    <font>
      <sz val="10"/>
      <name val="Arial"/>
      <family val="2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7E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4C0"/>
      </left>
      <right style="thin">
        <color rgb="FFB7C4C0"/>
      </right>
      <top style="thin">
        <color rgb="FFB7C4C0"/>
      </top>
      <bottom style="thin">
        <color rgb="FFB7C4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C0"/>
      <rgbColor rgb="FF808080"/>
      <rgbColor rgb="FF9999FF"/>
      <rgbColor rgb="FFB23A3A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7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7" min="6" style="0" width="15"/>
    <col collapsed="false" customWidth="true" hidden="false" outlineLevel="0" max="8" min="8" style="0" width="34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D4" s="4" t="n">
        <v>0.02</v>
      </c>
    </row>
    <row r="6" customFormat="false" ht="26.85" hidden="false" customHeight="false" outlineLevel="0" collapsed="false">
      <c r="A6" s="5" t="s">
        <v>3</v>
      </c>
      <c r="B6" s="5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5" t="s">
        <v>10</v>
      </c>
    </row>
    <row r="7" customFormat="false" ht="17.15" hidden="false" customHeight="false" outlineLevel="0" collapsed="false">
      <c r="A7" s="7" t="s">
        <v>11</v>
      </c>
      <c r="B7" s="7" t="s">
        <v>12</v>
      </c>
      <c r="C7" s="8" t="n">
        <v>0.7117</v>
      </c>
      <c r="D7" s="8" t="n">
        <v>0.5495</v>
      </c>
      <c r="E7" s="8" t="n">
        <v>0.6801</v>
      </c>
      <c r="F7" s="9" t="n">
        <f aca="false">D7-C7</f>
        <v>-0.1622</v>
      </c>
      <c r="G7" s="9" t="n">
        <f aca="false">E7-C7</f>
        <v>-0.0316</v>
      </c>
      <c r="H7" s="10" t="str">
        <f aca="false">"small: "&amp;IF(ABS(F7)&lt;=$D$4,"동등",IF(F7&gt;0,"OpenAI 우세","KcBERT 우세"))&amp;" · large: "&amp;IF(ABS(G7)&lt;=$D$4,"동등",IF(G7&gt;0,"OpenAI 우세","KcBERT 우세"))</f>
        <v>small: KcBERT 우세 · large: KcBERT 우세</v>
      </c>
    </row>
    <row r="8" customFormat="false" ht="17.15" hidden="false" customHeight="false" outlineLevel="0" collapsed="false">
      <c r="A8" s="7" t="s">
        <v>11</v>
      </c>
      <c r="B8" s="11" t="s">
        <v>13</v>
      </c>
      <c r="C8" s="12" t="n">
        <v>709.7</v>
      </c>
      <c r="D8" s="12" t="n">
        <v>682</v>
      </c>
      <c r="E8" s="12" t="n">
        <v>676</v>
      </c>
      <c r="F8" s="13" t="n">
        <f aca="false">D8-C8</f>
        <v>-27.7</v>
      </c>
      <c r="G8" s="13" t="n">
        <f aca="false">E8-C8</f>
        <v>-33.7</v>
      </c>
      <c r="H8" s="14"/>
    </row>
    <row r="9" customFormat="false" ht="17.15" hidden="false" customHeight="false" outlineLevel="0" collapsed="false">
      <c r="A9" s="7" t="s">
        <v>11</v>
      </c>
      <c r="B9" s="11" t="s">
        <v>14</v>
      </c>
      <c r="C9" s="12" t="n">
        <v>609</v>
      </c>
      <c r="D9" s="12" t="n">
        <v>557</v>
      </c>
      <c r="E9" s="12" t="n">
        <v>575</v>
      </c>
      <c r="F9" s="13" t="n">
        <f aca="false">D9-C9</f>
        <v>-52</v>
      </c>
      <c r="G9" s="13" t="n">
        <f aca="false">E9-C9</f>
        <v>-34</v>
      </c>
      <c r="H9" s="14"/>
    </row>
    <row r="10" customFormat="false" ht="17.15" hidden="false" customHeight="false" outlineLevel="0" collapsed="false">
      <c r="A10" s="7" t="s">
        <v>11</v>
      </c>
      <c r="B10" s="11" t="s">
        <v>15</v>
      </c>
      <c r="C10" s="12" t="n">
        <v>100.7</v>
      </c>
      <c r="D10" s="12" t="n">
        <v>125</v>
      </c>
      <c r="E10" s="12" t="n">
        <v>101</v>
      </c>
      <c r="F10" s="13" t="n">
        <f aca="false">D10-C10</f>
        <v>24.3</v>
      </c>
      <c r="G10" s="13" t="n">
        <f aca="false">E10-C10</f>
        <v>0.299999999999997</v>
      </c>
      <c r="H10" s="14"/>
    </row>
    <row r="11" customFormat="false" ht="17.15" hidden="false" customHeight="false" outlineLevel="0" collapsed="false">
      <c r="A11" s="7" t="s">
        <v>11</v>
      </c>
      <c r="B11" s="11" t="s">
        <v>16</v>
      </c>
      <c r="C11" s="12" t="n">
        <v>50.3</v>
      </c>
      <c r="D11" s="12" t="n">
        <v>78</v>
      </c>
      <c r="E11" s="12" t="n">
        <v>84</v>
      </c>
      <c r="F11" s="13" t="n">
        <f aca="false">D11-C11</f>
        <v>27.7</v>
      </c>
      <c r="G11" s="13" t="n">
        <f aca="false">E11-C11</f>
        <v>33.7</v>
      </c>
      <c r="H11" s="14"/>
    </row>
    <row r="12" customFormat="false" ht="17.15" hidden="false" customHeight="false" outlineLevel="0" collapsed="false">
      <c r="A12" s="7" t="s">
        <v>11</v>
      </c>
      <c r="B12" s="11" t="s">
        <v>17</v>
      </c>
      <c r="C12" s="12" t="n">
        <v>50</v>
      </c>
      <c r="D12" s="12" t="n">
        <v>77</v>
      </c>
      <c r="E12" s="12" t="n">
        <v>67</v>
      </c>
      <c r="F12" s="13" t="n">
        <f aca="false">D12-C12</f>
        <v>27</v>
      </c>
      <c r="G12" s="13" t="n">
        <f aca="false">E12-C12</f>
        <v>17</v>
      </c>
      <c r="H12" s="14"/>
    </row>
    <row r="13" customFormat="false" ht="17.15" hidden="false" customHeight="false" outlineLevel="0" collapsed="false">
      <c r="A13" s="7" t="s">
        <v>11</v>
      </c>
      <c r="B13" s="11" t="s">
        <v>18</v>
      </c>
      <c r="C13" s="12" t="n">
        <v>2.3</v>
      </c>
      <c r="D13" s="12" t="n">
        <v>34</v>
      </c>
      <c r="E13" s="12" t="n">
        <v>18</v>
      </c>
      <c r="F13" s="13" t="n">
        <f aca="false">D13-C13</f>
        <v>31.7</v>
      </c>
      <c r="G13" s="13" t="n">
        <f aca="false">E13-C13</f>
        <v>15.7</v>
      </c>
      <c r="H13" s="14"/>
    </row>
    <row r="14" customFormat="false" ht="17.15" hidden="false" customHeight="false" outlineLevel="0" collapsed="false">
      <c r="A14" s="7" t="s">
        <v>11</v>
      </c>
      <c r="B14" s="11" t="s">
        <v>19</v>
      </c>
      <c r="C14" s="12" t="n">
        <v>3.3</v>
      </c>
      <c r="D14" s="12" t="n">
        <v>2</v>
      </c>
      <c r="E14" s="12" t="n">
        <v>3</v>
      </c>
      <c r="F14" s="13" t="n">
        <f aca="false">D14-C14</f>
        <v>-1.3</v>
      </c>
      <c r="G14" s="13" t="n">
        <f aca="false">E14-C14</f>
        <v>-0.3</v>
      </c>
      <c r="H14" s="14"/>
    </row>
    <row r="15" customFormat="false" ht="17.15" hidden="false" customHeight="false" outlineLevel="0" collapsed="false">
      <c r="A15" s="7" t="s">
        <v>11</v>
      </c>
      <c r="B15" s="11" t="s">
        <v>20</v>
      </c>
      <c r="C15" s="12" t="n">
        <v>7.7</v>
      </c>
      <c r="D15" s="12" t="n">
        <v>3</v>
      </c>
      <c r="E15" s="12" t="n">
        <v>5</v>
      </c>
      <c r="F15" s="13" t="n">
        <f aca="false">D15-C15</f>
        <v>-4.7</v>
      </c>
      <c r="G15" s="13" t="n">
        <f aca="false">E15-C15</f>
        <v>-2.7</v>
      </c>
      <c r="H15" s="14"/>
    </row>
    <row r="16" customFormat="false" ht="17.15" hidden="false" customHeight="false" outlineLevel="0" collapsed="false">
      <c r="A16" s="7" t="s">
        <v>21</v>
      </c>
      <c r="B16" s="7" t="s">
        <v>12</v>
      </c>
      <c r="C16" s="8" t="n">
        <v>0.6883</v>
      </c>
      <c r="D16" s="8" t="n">
        <v>0.5094</v>
      </c>
      <c r="E16" s="8" t="n">
        <v>0.6532</v>
      </c>
      <c r="F16" s="9" t="n">
        <f aca="false">D16-C16</f>
        <v>-0.1789</v>
      </c>
      <c r="G16" s="9" t="n">
        <f aca="false">E16-C16</f>
        <v>-0.0351</v>
      </c>
      <c r="H16" s="10" t="str">
        <f aca="false">"small: "&amp;IF(ABS(F16)&lt;=$D$4,"동등",IF(F16&gt;0,"OpenAI 우세","KcBERT 우세"))&amp;" · large: "&amp;IF(ABS(G16)&lt;=$D$4,"동등",IF(G16&gt;0,"OpenAI 우세","KcBERT 우세"))</f>
        <v>small: KcBERT 우세 · large: KcBERT 우세</v>
      </c>
    </row>
    <row r="17" customFormat="false" ht="17.15" hidden="false" customHeight="false" outlineLevel="0" collapsed="false">
      <c r="A17" s="7" t="s">
        <v>21</v>
      </c>
      <c r="B17" s="11" t="s">
        <v>13</v>
      </c>
      <c r="C17" s="12" t="n">
        <v>715.7</v>
      </c>
      <c r="D17" s="12" t="n">
        <v>702</v>
      </c>
      <c r="E17" s="12" t="n">
        <v>692</v>
      </c>
      <c r="F17" s="13" t="n">
        <f aca="false">D17-C17</f>
        <v>-13.7</v>
      </c>
      <c r="G17" s="13" t="n">
        <f aca="false">E17-C17</f>
        <v>-23.7</v>
      </c>
      <c r="H17" s="14"/>
    </row>
    <row r="18" customFormat="false" ht="17.15" hidden="false" customHeight="false" outlineLevel="0" collapsed="false">
      <c r="A18" s="7" t="s">
        <v>21</v>
      </c>
      <c r="B18" s="11" t="s">
        <v>14</v>
      </c>
      <c r="C18" s="12" t="n">
        <v>605</v>
      </c>
      <c r="D18" s="12" t="n">
        <v>550</v>
      </c>
      <c r="E18" s="12" t="n">
        <v>583</v>
      </c>
      <c r="F18" s="13" t="n">
        <f aca="false">D18-C18</f>
        <v>-55</v>
      </c>
      <c r="G18" s="13" t="n">
        <f aca="false">E18-C18</f>
        <v>-22</v>
      </c>
      <c r="H18" s="14"/>
    </row>
    <row r="19" customFormat="false" ht="17.15" hidden="false" customHeight="false" outlineLevel="0" collapsed="false">
      <c r="A19" s="7" t="s">
        <v>21</v>
      </c>
      <c r="B19" s="11" t="s">
        <v>15</v>
      </c>
      <c r="C19" s="12" t="n">
        <v>110.7</v>
      </c>
      <c r="D19" s="12" t="n">
        <v>152</v>
      </c>
      <c r="E19" s="12" t="n">
        <v>109</v>
      </c>
      <c r="F19" s="13" t="n">
        <f aca="false">D19-C19</f>
        <v>41.3</v>
      </c>
      <c r="G19" s="13" t="n">
        <f aca="false">E19-C19</f>
        <v>-1.7</v>
      </c>
      <c r="H19" s="14"/>
    </row>
    <row r="20" customFormat="false" ht="17.15" hidden="false" customHeight="false" outlineLevel="0" collapsed="false">
      <c r="A20" s="7" t="s">
        <v>21</v>
      </c>
      <c r="B20" s="11" t="s">
        <v>16</v>
      </c>
      <c r="C20" s="12" t="n">
        <v>44.3</v>
      </c>
      <c r="D20" s="12" t="n">
        <v>58</v>
      </c>
      <c r="E20" s="12" t="n">
        <v>68</v>
      </c>
      <c r="F20" s="13" t="n">
        <f aca="false">D20-C20</f>
        <v>13.7</v>
      </c>
      <c r="G20" s="13" t="n">
        <f aca="false">E20-C20</f>
        <v>23.7</v>
      </c>
      <c r="H20" s="14"/>
    </row>
    <row r="21" customFormat="false" ht="17.15" hidden="false" customHeight="false" outlineLevel="0" collapsed="false">
      <c r="A21" s="7" t="s">
        <v>21</v>
      </c>
      <c r="B21" s="11" t="s">
        <v>17</v>
      </c>
      <c r="C21" s="12" t="n">
        <v>58.3</v>
      </c>
      <c r="D21" s="12" t="n">
        <v>101</v>
      </c>
      <c r="E21" s="12" t="n">
        <v>72</v>
      </c>
      <c r="F21" s="13" t="n">
        <f aca="false">D21-C21</f>
        <v>42.7</v>
      </c>
      <c r="G21" s="13" t="n">
        <f aca="false">E21-C21</f>
        <v>13.7</v>
      </c>
      <c r="H21" s="14"/>
    </row>
    <row r="22" customFormat="false" ht="17.15" hidden="false" customHeight="false" outlineLevel="0" collapsed="false">
      <c r="A22" s="7" t="s">
        <v>21</v>
      </c>
      <c r="B22" s="11" t="s">
        <v>18</v>
      </c>
      <c r="C22" s="12" t="n">
        <v>6.7</v>
      </c>
      <c r="D22" s="12" t="n">
        <v>56</v>
      </c>
      <c r="E22" s="12" t="n">
        <v>33</v>
      </c>
      <c r="F22" s="13" t="n">
        <f aca="false">D22-C22</f>
        <v>49.3</v>
      </c>
      <c r="G22" s="13" t="n">
        <f aca="false">E22-C22</f>
        <v>26.3</v>
      </c>
      <c r="H22" s="14"/>
    </row>
    <row r="23" customFormat="false" ht="17.15" hidden="false" customHeight="false" outlineLevel="0" collapsed="false">
      <c r="A23" s="7" t="s">
        <v>21</v>
      </c>
      <c r="B23" s="11" t="s">
        <v>19</v>
      </c>
      <c r="C23" s="12" t="n">
        <v>3</v>
      </c>
      <c r="D23" s="12" t="n">
        <v>2</v>
      </c>
      <c r="E23" s="12" t="n">
        <v>2</v>
      </c>
      <c r="F23" s="13" t="n">
        <f aca="false">D23-C23</f>
        <v>-1</v>
      </c>
      <c r="G23" s="13" t="n">
        <f aca="false">E23-C23</f>
        <v>-1</v>
      </c>
      <c r="H23" s="14"/>
    </row>
    <row r="24" customFormat="false" ht="17.15" hidden="false" customHeight="false" outlineLevel="0" collapsed="false">
      <c r="A24" s="7" t="s">
        <v>21</v>
      </c>
      <c r="B24" s="11" t="s">
        <v>20</v>
      </c>
      <c r="C24" s="12" t="n">
        <v>10</v>
      </c>
      <c r="D24" s="12" t="n">
        <v>4</v>
      </c>
      <c r="E24" s="12" t="n">
        <v>5</v>
      </c>
      <c r="F24" s="13" t="n">
        <f aca="false">D24-C24</f>
        <v>-6</v>
      </c>
      <c r="G24" s="13" t="n">
        <f aca="false">E24-C24</f>
        <v>-5</v>
      </c>
      <c r="H24" s="14"/>
    </row>
    <row r="26" customFormat="false" ht="15" hidden="false" customHeight="false" outlineLevel="0" collapsed="false">
      <c r="A26" s="2" t="s">
        <v>22</v>
      </c>
    </row>
    <row r="27" customFormat="false" ht="15" hidden="false" customHeight="false" outlineLevel="0" collapsed="false">
      <c r="A27" s="15" t="s">
        <v>23</v>
      </c>
    </row>
    <row r="29" customFormat="false" ht="17.15" hidden="false" customHeight="false" outlineLevel="0" collapsed="false">
      <c r="A29" s="3" t="s">
        <v>24</v>
      </c>
    </row>
    <row r="30" customFormat="false" ht="17.15" hidden="false" customHeight="false" outlineLevel="0" collapsed="false">
      <c r="B30" s="16" t="s">
        <v>25</v>
      </c>
      <c r="C30" s="16" t="s">
        <v>26</v>
      </c>
      <c r="D30" s="17" t="s">
        <v>27</v>
      </c>
      <c r="E30" s="16" t="s">
        <v>28</v>
      </c>
    </row>
    <row r="31" customFormat="false" ht="15" hidden="false" customHeight="false" outlineLevel="0" collapsed="false">
      <c r="B31" s="7" t="s">
        <v>29</v>
      </c>
      <c r="C31" s="18" t="n">
        <v>42</v>
      </c>
      <c r="D31" s="7" t="s">
        <v>30</v>
      </c>
      <c r="E31" s="19" t="s">
        <v>31</v>
      </c>
    </row>
    <row r="32" customFormat="false" ht="15" hidden="false" customHeight="false" outlineLevel="0" collapsed="false">
      <c r="B32" s="7" t="s">
        <v>6</v>
      </c>
      <c r="C32" s="18" t="n">
        <v>194</v>
      </c>
      <c r="D32" s="18" t="n">
        <v>301</v>
      </c>
      <c r="E32" s="20" t="s">
        <v>32</v>
      </c>
    </row>
    <row r="33" customFormat="false" ht="15" hidden="false" customHeight="false" outlineLevel="0" collapsed="false">
      <c r="B33" s="7" t="s">
        <v>7</v>
      </c>
      <c r="C33" s="18" t="n">
        <v>248</v>
      </c>
      <c r="D33" s="18" t="n">
        <v>310</v>
      </c>
      <c r="E33" s="20" t="s">
        <v>32</v>
      </c>
    </row>
    <row r="34" customFormat="false" ht="15" hidden="false" customHeight="false" outlineLevel="0" collapsed="false">
      <c r="B34" s="21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20.1" hidden="false" customHeight="false" outlineLevel="0" collapsed="false">
      <c r="A1" s="1" t="s">
        <v>34</v>
      </c>
    </row>
    <row r="3" customFormat="false" ht="17.15" hidden="false" customHeight="false" outlineLevel="0" collapsed="false">
      <c r="A3" s="3" t="s">
        <v>35</v>
      </c>
      <c r="B3" s="22" t="s">
        <v>36</v>
      </c>
    </row>
    <row r="4" customFormat="false" ht="32.8" hidden="false" customHeight="false" outlineLevel="0" collapsed="false">
      <c r="A4" s="3" t="s">
        <v>37</v>
      </c>
      <c r="B4" s="22" t="s">
        <v>38</v>
      </c>
    </row>
    <row r="5" customFormat="false" ht="17.15" hidden="false" customHeight="false" outlineLevel="0" collapsed="false">
      <c r="A5" s="3" t="s">
        <v>39</v>
      </c>
      <c r="B5" s="23" t="s">
        <v>40</v>
      </c>
    </row>
    <row r="6" customFormat="false" ht="17.15" hidden="false" customHeight="false" outlineLevel="0" collapsed="false">
      <c r="A6" s="3" t="s">
        <v>41</v>
      </c>
      <c r="B6" s="23" t="s">
        <v>42</v>
      </c>
    </row>
    <row r="7" customFormat="false" ht="32.8" hidden="false" customHeight="false" outlineLevel="0" collapsed="false">
      <c r="A7" s="3" t="s">
        <v>43</v>
      </c>
      <c r="B7" s="22" t="s">
        <v>44</v>
      </c>
    </row>
    <row r="8" customFormat="false" ht="17.15" hidden="false" customHeight="false" outlineLevel="0" collapsed="false">
      <c r="A8" s="3" t="s">
        <v>45</v>
      </c>
      <c r="B8" s="23" t="s">
        <v>46</v>
      </c>
    </row>
    <row r="9" customFormat="false" ht="32.8" hidden="false" customHeight="false" outlineLevel="0" collapsed="false">
      <c r="A9" s="3" t="s">
        <v>47</v>
      </c>
      <c r="B9" s="23" t="s">
        <v>48</v>
      </c>
    </row>
    <row r="10" customFormat="false" ht="32.8" hidden="false" customHeight="false" outlineLevel="0" collapsed="false">
      <c r="A10" s="3" t="s">
        <v>49</v>
      </c>
      <c r="B10" s="22" t="s">
        <v>50</v>
      </c>
    </row>
    <row r="11" customFormat="false" ht="17.15" hidden="false" customHeight="false" outlineLevel="0" collapsed="false">
      <c r="A11" s="3" t="s">
        <v>51</v>
      </c>
      <c r="B11" s="23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2026-10-19T00:43:43Z</dcterms:created>
  <dc:creator>openpyxl</dc:creator>
  <dc:description/>
  <dc:language>en-US</dc:language>
  <cp:lastModifiedBy/>
  <dcterms:modified xsi:type="dcterms:W3CDTF">2026-10-19T00:43:43Z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